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384" windowWidth="17280" windowHeight="9960" tabRatio="600" firstSheet="0" activeTab="0" autoFilterDateGrouping="1"/>
  </bookViews>
  <sheets>
    <sheet name="Inputs" sheetId="1" state="visible" r:id="rId1"/>
    <sheet name="Demand" sheetId="2" state="visible" r:id="rId2"/>
    <sheet name="Results" sheetId="3" state="visible" r:id="rId3"/>
  </sheets>
  <definedNames>
    <definedName name="AnnualDemand">Results!$B$2</definedName>
    <definedName name="DaysPerYear">Inputs!$B$4</definedName>
    <definedName name="EOQ_Q">Results!$B$3</definedName>
    <definedName name="HoldCost">Inputs!$B$6</definedName>
    <definedName name="LeadTime">Inputs!$B$7</definedName>
    <definedName name="Mu">Inputs!$B$2</definedName>
    <definedName name="OrderCost">Inputs!$B$5</definedName>
    <definedName name="ReorderPoint">Results!$B$8</definedName>
    <definedName name="SafetyStock">Results!$B$7</definedName>
    <definedName name="ServiceLevel">Inputs!$B$8</definedName>
    <definedName name="Sigma">Inputs!$B$3</definedName>
    <definedName name="TotalCost">Results!$B$12</definedName>
    <definedName name="z_value">Inputs!$B$9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80808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6" fontId="1" fillId="4" borderId="0" pivotButton="0" quotePrefix="0" xfId="0"/>
    <xf numFmtId="0" fontId="2" fillId="0" borderId="0" pivotButton="0" quotePrefix="0" xfId="0"/>
    <xf numFmtId="166" fontId="2" fillId="0" borderId="0" pivotButton="0" quotePrefix="0" xfId="0"/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/xl/styles.xml"/><Relationship Id="rId5" Type="http://schemas.openxmlformats.org/officeDocument/2006/relationships/theme" Target="/xl/theme/theme1.xml"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30-Day Stochastic Daily Demand (Normal distribution)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Daily Demand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Demand!$A$2:$A$31</f>
              <numCache>
                <formatCode>General</formatCode>
                <ptCount val="3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</numCache>
            </numRef>
          </cat>
          <val>
            <numRef>
              <f>Demand!$C$2:$C$31</f>
              <numCache>
                <formatCode>General</formatCode>
                <ptCount val="30"/>
                <pt idx="0">
                  <v>40</v>
                </pt>
                <pt idx="1">
                  <v>53</v>
                </pt>
                <pt idx="2">
                  <v>27</v>
                </pt>
                <pt idx="3">
                  <v>67</v>
                </pt>
                <pt idx="4">
                  <v>58</v>
                </pt>
                <pt idx="5">
                  <v>46</v>
                </pt>
                <pt idx="6">
                  <v>46</v>
                </pt>
                <pt idx="7">
                  <v>54</v>
                </pt>
                <pt idx="8">
                  <v>47</v>
                </pt>
                <pt idx="9">
                  <v>47</v>
                </pt>
                <pt idx="10">
                  <v>59</v>
                </pt>
                <pt idx="11">
                  <v>56</v>
                </pt>
                <pt idx="12">
                  <v>49</v>
                </pt>
                <pt idx="13">
                  <v>49</v>
                </pt>
                <pt idx="14">
                  <v>52</v>
                </pt>
                <pt idx="15">
                  <v>42</v>
                </pt>
                <pt idx="16">
                  <v>45</v>
                </pt>
                <pt idx="17">
                  <v>57</v>
                </pt>
                <pt idx="18">
                  <v>48</v>
                </pt>
                <pt idx="19">
                  <v>33</v>
                </pt>
                <pt idx="20">
                  <v>44</v>
                </pt>
                <pt idx="21">
                  <v>58</v>
                </pt>
                <pt idx="22">
                  <v>47</v>
                </pt>
                <pt idx="23">
                  <v>48</v>
                </pt>
                <pt idx="24">
                  <v>58</v>
                </pt>
                <pt idx="25">
                  <v>73</v>
                </pt>
                <pt idx="26">
                  <v>41</v>
                </pt>
                <pt idx="27">
                  <v>67</v>
                </pt>
                <pt idx="28">
                  <v>35</v>
                </pt>
                <pt idx="29">
                  <v>52</v>
                </pt>
              </numCache>
            </numRef>
          </val>
          <smooth val="0"/>
        </ser>
        <ser>
          <idx val="1"/>
          <order val="1"/>
          <tx>
            <v>Mean (mu)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Demand!$A$2:$A$31</f>
              <numCache>
                <formatCode>General</formatCode>
                <ptCount val="3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</numCache>
            </numRef>
          </cat>
          <val>
            <numRef>
              <f>Demand!$D$2:$D$31</f>
              <numCache>
                <formatCode>General</formatCode>
                <ptCount val="30"/>
                <pt idx="0">
                  <v>50</v>
                </pt>
                <pt idx="1">
                  <v>50</v>
                </pt>
                <pt idx="2">
                  <v>50</v>
                </pt>
                <pt idx="3">
                  <v>50</v>
                </pt>
                <pt idx="4">
                  <v>50</v>
                </pt>
                <pt idx="5">
                  <v>50</v>
                </pt>
                <pt idx="6">
                  <v>50</v>
                </pt>
                <pt idx="7">
                  <v>50</v>
                </pt>
                <pt idx="8">
                  <v>50</v>
                </pt>
                <pt idx="9">
                  <v>50</v>
                </pt>
                <pt idx="10">
                  <v>50</v>
                </pt>
                <pt idx="11">
                  <v>50</v>
                </pt>
                <pt idx="12">
                  <v>50</v>
                </pt>
                <pt idx="13">
                  <v>50</v>
                </pt>
                <pt idx="14">
                  <v>50</v>
                </pt>
                <pt idx="15">
                  <v>50</v>
                </pt>
                <pt idx="16">
                  <v>50</v>
                </pt>
                <pt idx="17">
                  <v>50</v>
                </pt>
                <pt idx="18">
                  <v>50</v>
                </pt>
                <pt idx="19">
                  <v>50</v>
                </pt>
                <pt idx="20">
                  <v>50</v>
                </pt>
                <pt idx="21">
                  <v>50</v>
                </pt>
                <pt idx="22">
                  <v>50</v>
                </pt>
                <pt idx="23">
                  <v>50</v>
                </pt>
                <pt idx="24">
                  <v>50</v>
                </pt>
                <pt idx="25">
                  <v>50</v>
                </pt>
                <pt idx="26">
                  <v>50</v>
                </pt>
                <pt idx="27">
                  <v>50</v>
                </pt>
                <pt idx="28">
                  <v>50</v>
                </pt>
                <pt idx="29">
                  <v>50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10"/>
        <crosses val="autoZero"/>
        <crossBetween val="between"/>
      </valAx>
      <spPr>
        <a:noFill/>
        <a:ln>
          <a:noFill/>
          <a:prstDash val="solid"/>
        </a:ln>
      </spPr>
    </plotArea>
    <legend>
      <legendPos val="b"/>
      <overlay val="0"/>
      <spPr>
        <a:noFill/>
        <a:ln>
          <a:noFill/>
          <a:prstDash val="solid"/>
        </a:ln>
      </spPr>
      <txPr>
        <a:bodyPr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Lead-Time Demand, Safety Stock and Reorder Point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Units</v>
          </tx>
          <spPr>
            <a:ln>
              <a:prstDash val="solid"/>
            </a:ln>
          </spPr>
          <invertIfNegative val="0"/>
          <cat>
            <strRef>
              <f>Results!$A$6:$A$8</f>
              <strCache>
                <ptCount val="3"/>
                <pt idx="0">
                  <v>Lead-time demand</v>
                </pt>
                <pt idx="1">
                  <v>Safety stock (SS)</v>
                </pt>
                <pt idx="2">
                  <v>Reorder point (ROP)</v>
                </pt>
              </strCache>
            </strRef>
          </cat>
          <val>
            <numRef>
              <f>Results!$B$6:$B$8</f>
              <numCache>
                <formatCode>0.0</formatCode>
                <ptCount val="3"/>
                <pt idx="0">
                  <v>250</v>
                </pt>
                <pt idx="1">
                  <v>36.78004522900571</v>
                </pt>
                <pt idx="2">
                  <v>286.7800452290057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10"/>
        <crosses val="autoZero"/>
        <crossBetween val="between"/>
      </valAx>
      <spPr>
        <a:noFill/>
        <a:ln>
          <a:noFill/>
          <a:prstDash val="solid"/>
        </a:ln>
      </spPr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6480000" cy="3240000"/>
    <graphicFrame>
      <nvGraphicFramePr>
        <cNvPr id="1" name="DemandChart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3240000"/>
    <graphicFrame>
      <nvGraphicFramePr>
        <cNvPr id="1" name="ROPChart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/xl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/xl/drawings/drawing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B9" sqref="B9"/>
    </sheetView>
  </sheetViews>
  <sheetFormatPr baseColWidth="8" defaultRowHeight="14.4"/>
  <cols>
    <col width="35" customWidth="1" min="1" max="1"/>
    <col width="15" customWidth="1" min="2" max="2"/>
    <col width="1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Mean daily demand (mu)</t>
        </is>
      </c>
      <c r="B2" t="n">
        <v>50</v>
      </c>
      <c r="C2" t="inlineStr">
        <is>
          <t>units/day</t>
        </is>
      </c>
    </row>
    <row r="3">
      <c r="A3" t="inlineStr">
        <is>
          <t>Std. dev. of daily demand (sigma)</t>
        </is>
      </c>
      <c r="B3" s="2" t="n">
        <v>10</v>
      </c>
      <c r="C3" t="inlineStr">
        <is>
          <t>units/day</t>
        </is>
      </c>
    </row>
    <row r="4">
      <c r="A4" t="inlineStr">
        <is>
          <t>Days per year</t>
        </is>
      </c>
      <c r="B4" t="n">
        <v>365</v>
      </c>
      <c r="C4" t="inlineStr">
        <is>
          <t>days</t>
        </is>
      </c>
    </row>
    <row r="5">
      <c r="A5" t="inlineStr">
        <is>
          <t>Ordering cost (S)</t>
        </is>
      </c>
      <c r="B5" t="n">
        <v>100</v>
      </c>
      <c r="C5" t="inlineStr">
        <is>
          <t>TL/order</t>
        </is>
      </c>
    </row>
    <row r="6">
      <c r="A6" t="inlineStr">
        <is>
          <t>Holding cost (H)</t>
        </is>
      </c>
      <c r="B6" t="n">
        <v>2</v>
      </c>
      <c r="C6" t="inlineStr">
        <is>
          <t>TL/unit/year</t>
        </is>
      </c>
    </row>
    <row r="7">
      <c r="A7" t="inlineStr">
        <is>
          <t>Lead time (L)</t>
        </is>
      </c>
      <c r="B7" t="n">
        <v>5</v>
      </c>
      <c r="C7" t="inlineStr">
        <is>
          <t>days</t>
        </is>
      </c>
    </row>
    <row r="8">
      <c r="A8" t="inlineStr">
        <is>
          <t>Service level</t>
        </is>
      </c>
      <c r="B8" s="3" t="n">
        <v>0.95</v>
      </c>
    </row>
    <row r="9">
      <c r="A9" t="inlineStr">
        <is>
          <t>z value</t>
        </is>
      </c>
      <c r="B9" s="4">
        <f>_xlfn.NORM.S.INV(B8)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min="1" max="1"/>
    <col width="23" customWidth="1" min="2" max="2"/>
    <col width="12" customWidth="1" min="3" max="3"/>
    <col width="11" customWidth="1" min="4" max="4"/>
    <col width="19" customWidth="1" min="6" max="6"/>
    <col width="10" customWidth="1" min="7" max="7"/>
  </cols>
  <sheetData>
    <row r="1">
      <c r="A1" s="1" t="inlineStr">
        <is>
          <t>Day</t>
        </is>
      </c>
      <c r="B1" s="1" t="inlineStr">
        <is>
          <t>Z (fixed N(0,1) draw)</t>
        </is>
      </c>
      <c r="C1" s="1" t="inlineStr">
        <is>
          <t>Daily Demand</t>
        </is>
      </c>
      <c r="D1" s="1" t="inlineStr">
        <is>
          <t>Mean (mu)</t>
        </is>
      </c>
      <c r="F1" s="5" t="inlineStr">
        <is>
          <t>30-day statistics</t>
        </is>
      </c>
    </row>
    <row r="2">
      <c r="A2" t="n">
        <v>1</v>
      </c>
      <c r="B2" s="6" t="n">
        <v>-0.9774</v>
      </c>
      <c r="C2">
        <f>MAX(0,ROUND(Mu+Sigma*B2,0))</f>
        <v/>
      </c>
      <c r="D2">
        <f>Mu</f>
        <v/>
      </c>
      <c r="F2" t="inlineStr">
        <is>
          <t>Sample mean</t>
        </is>
      </c>
      <c r="G2" s="7">
        <f>AVERAGE(C2:C31)</f>
        <v/>
      </c>
    </row>
    <row r="3">
      <c r="A3" t="n">
        <v>2</v>
      </c>
      <c r="B3" s="6" t="n">
        <v>0.3014</v>
      </c>
      <c r="C3">
        <f>MAX(0,ROUND(Mu+Sigma*B3,0))</f>
        <v/>
      </c>
      <c r="D3">
        <f>Mu</f>
        <v/>
      </c>
      <c r="F3" t="inlineStr">
        <is>
          <t>Sample std dev</t>
        </is>
      </c>
      <c r="G3" s="7">
        <f>STDEV(C2:C31)</f>
        <v/>
      </c>
    </row>
    <row r="4">
      <c r="A4" t="n">
        <v>3</v>
      </c>
      <c r="B4" s="6" t="n">
        <v>-2.3421</v>
      </c>
      <c r="C4">
        <f>MAX(0,ROUND(Mu+Sigma*B4,0))</f>
        <v/>
      </c>
      <c r="D4">
        <f>Mu</f>
        <v/>
      </c>
      <c r="F4" t="inlineStr">
        <is>
          <t>Min</t>
        </is>
      </c>
      <c r="G4">
        <f>MIN(C2:C31)</f>
        <v/>
      </c>
    </row>
    <row r="5">
      <c r="A5" t="n">
        <v>4</v>
      </c>
      <c r="B5" s="6" t="n">
        <v>1.7305</v>
      </c>
      <c r="C5">
        <f>MAX(0,ROUND(Mu+Sigma*B5,0))</f>
        <v/>
      </c>
      <c r="D5">
        <f>Mu</f>
        <v/>
      </c>
      <c r="F5" t="inlineStr">
        <is>
          <t>Max</t>
        </is>
      </c>
      <c r="G5">
        <f>MAX(C2:C31)</f>
        <v/>
      </c>
    </row>
    <row r="6">
      <c r="A6" t="n">
        <v>5</v>
      </c>
      <c r="B6" s="6" t="n">
        <v>0.7934</v>
      </c>
      <c r="C6">
        <f>MAX(0,ROUND(Mu+Sigma*B6,0))</f>
        <v/>
      </c>
      <c r="D6">
        <f>Mu</f>
        <v/>
      </c>
    </row>
    <row r="7">
      <c r="A7" t="n">
        <v>6</v>
      </c>
      <c r="B7" s="6" t="n">
        <v>-0.3575</v>
      </c>
      <c r="C7">
        <f>MAX(0,ROUND(Mu+Sigma*B7,0))</f>
        <v/>
      </c>
      <c r="D7">
        <f>Mu</f>
        <v/>
      </c>
    </row>
    <row r="8">
      <c r="A8" t="n">
        <v>7</v>
      </c>
      <c r="B8" s="6" t="n">
        <v>-0.3821</v>
      </c>
      <c r="C8">
        <f>MAX(0,ROUND(Mu+Sigma*B8,0))</f>
        <v/>
      </c>
      <c r="D8">
        <f>Mu</f>
        <v/>
      </c>
    </row>
    <row r="9">
      <c r="A9" t="n">
        <v>8</v>
      </c>
      <c r="B9" s="6" t="n">
        <v>0.3797</v>
      </c>
      <c r="C9">
        <f>MAX(0,ROUND(Mu+Sigma*B9,0))</f>
        <v/>
      </c>
      <c r="D9">
        <f>Mu</f>
        <v/>
      </c>
    </row>
    <row r="10">
      <c r="A10" t="n">
        <v>9</v>
      </c>
      <c r="B10" s="6" t="n">
        <v>-0.3273</v>
      </c>
      <c r="C10">
        <f>MAX(0,ROUND(Mu+Sigma*B10,0))</f>
        <v/>
      </c>
      <c r="D10">
        <f>Mu</f>
        <v/>
      </c>
    </row>
    <row r="11">
      <c r="A11" t="n">
        <v>10</v>
      </c>
      <c r="B11" s="6" t="n">
        <v>-0.2757</v>
      </c>
      <c r="C11">
        <f>MAX(0,ROUND(Mu+Sigma*B11,0))</f>
        <v/>
      </c>
      <c r="D11">
        <f>Mu</f>
        <v/>
      </c>
    </row>
    <row r="12">
      <c r="A12" t="n">
        <v>11</v>
      </c>
      <c r="B12" s="6" t="n">
        <v>0.8946</v>
      </c>
      <c r="C12">
        <f>MAX(0,ROUND(Mu+Sigma*B12,0))</f>
        <v/>
      </c>
      <c r="D12">
        <f>Mu</f>
        <v/>
      </c>
    </row>
    <row r="13">
      <c r="A13" t="n">
        <v>12</v>
      </c>
      <c r="B13" s="6" t="n">
        <v>0.6405</v>
      </c>
      <c r="C13">
        <f>MAX(0,ROUND(Mu+Sigma*B13,0))</f>
        <v/>
      </c>
      <c r="D13">
        <f>Mu</f>
        <v/>
      </c>
    </row>
    <row r="14">
      <c r="A14" t="n">
        <v>13</v>
      </c>
      <c r="B14" s="6" t="n">
        <v>-0.0755</v>
      </c>
      <c r="C14">
        <f>MAX(0,ROUND(Mu+Sigma*B14,0))</f>
        <v/>
      </c>
      <c r="D14">
        <f>Mu</f>
        <v/>
      </c>
    </row>
    <row r="15">
      <c r="A15" t="n">
        <v>14</v>
      </c>
      <c r="B15" s="6" t="n">
        <v>-0.1019</v>
      </c>
      <c r="C15">
        <f>MAX(0,ROUND(Mu+Sigma*B15,0))</f>
        <v/>
      </c>
      <c r="D15">
        <f>Mu</f>
        <v/>
      </c>
    </row>
    <row r="16">
      <c r="A16" t="n">
        <v>15</v>
      </c>
      <c r="B16" s="6" t="n">
        <v>0.2029</v>
      </c>
      <c r="C16">
        <f>MAX(0,ROUND(Mu+Sigma*B16,0))</f>
        <v/>
      </c>
      <c r="D16">
        <f>Mu</f>
        <v/>
      </c>
    </row>
    <row r="17">
      <c r="A17" t="n">
        <v>16</v>
      </c>
      <c r="B17" s="6" t="n">
        <v>-0.7558</v>
      </c>
      <c r="C17">
        <f>MAX(0,ROUND(Mu+Sigma*B17,0))</f>
        <v/>
      </c>
      <c r="D17">
        <f>Mu</f>
        <v/>
      </c>
    </row>
    <row r="18">
      <c r="A18" t="n">
        <v>17</v>
      </c>
      <c r="B18" s="6" t="n">
        <v>-0.4957</v>
      </c>
      <c r="C18">
        <f>MAX(0,ROUND(Mu+Sigma*B18,0))</f>
        <v/>
      </c>
      <c r="D18">
        <f>Mu</f>
        <v/>
      </c>
    </row>
    <row r="19">
      <c r="A19" t="n">
        <v>18</v>
      </c>
      <c r="B19" s="6" t="n">
        <v>0.6820000000000001</v>
      </c>
      <c r="C19">
        <f>MAX(0,ROUND(Mu+Sigma*B19,0))</f>
        <v/>
      </c>
      <c r="D19">
        <f>Mu</f>
        <v/>
      </c>
    </row>
    <row r="20">
      <c r="A20" t="n">
        <v>19</v>
      </c>
      <c r="B20" s="6" t="n">
        <v>-0.1576</v>
      </c>
      <c r="C20">
        <f>MAX(0,ROUND(Mu+Sigma*B20,0))</f>
        <v/>
      </c>
      <c r="D20">
        <f>Mu</f>
        <v/>
      </c>
    </row>
    <row r="21">
      <c r="A21" t="n">
        <v>20</v>
      </c>
      <c r="B21" s="6" t="n">
        <v>-1.6965</v>
      </c>
      <c r="C21">
        <f>MAX(0,ROUND(Mu+Sigma*B21,0))</f>
        <v/>
      </c>
      <c r="D21">
        <f>Mu</f>
        <v/>
      </c>
    </row>
    <row r="22">
      <c r="A22" t="n">
        <v>21</v>
      </c>
      <c r="B22" s="6" t="n">
        <v>-0.5866</v>
      </c>
      <c r="C22">
        <f>MAX(0,ROUND(Mu+Sigma*B22,0))</f>
        <v/>
      </c>
      <c r="D22">
        <f>Mu</f>
        <v/>
      </c>
    </row>
    <row r="23">
      <c r="A23" t="n">
        <v>22</v>
      </c>
      <c r="B23" s="6" t="n">
        <v>0.8161</v>
      </c>
      <c r="C23">
        <f>MAX(0,ROUND(Mu+Sigma*B23,0))</f>
        <v/>
      </c>
      <c r="D23">
        <f>Mu</f>
        <v/>
      </c>
    </row>
    <row r="24">
      <c r="A24" t="n">
        <v>23</v>
      </c>
      <c r="B24" s="6" t="n">
        <v>-0.2836</v>
      </c>
      <c r="C24">
        <f>MAX(0,ROUND(Mu+Sigma*B24,0))</f>
        <v/>
      </c>
      <c r="D24">
        <f>Mu</f>
        <v/>
      </c>
    </row>
    <row r="25">
      <c r="A25" t="n">
        <v>24</v>
      </c>
      <c r="B25" s="6" t="n">
        <v>-0.1802</v>
      </c>
      <c r="C25">
        <f>MAX(0,ROUND(Mu+Sigma*B25,0))</f>
        <v/>
      </c>
      <c r="D25">
        <f>Mu</f>
        <v/>
      </c>
    </row>
    <row r="26">
      <c r="A26" t="n">
        <v>25</v>
      </c>
      <c r="B26" s="6" t="n">
        <v>0.7978</v>
      </c>
      <c r="C26">
        <f>MAX(0,ROUND(Mu+Sigma*B26,0))</f>
        <v/>
      </c>
      <c r="D26">
        <f>Mu</f>
        <v/>
      </c>
    </row>
    <row r="27">
      <c r="A27" t="n">
        <v>26</v>
      </c>
      <c r="B27" s="6" t="n">
        <v>2.261</v>
      </c>
      <c r="C27">
        <f>MAX(0,ROUND(Mu+Sigma*B27,0))</f>
        <v/>
      </c>
      <c r="D27">
        <f>Mu</f>
        <v/>
      </c>
    </row>
    <row r="28">
      <c r="A28" t="n">
        <v>27</v>
      </c>
      <c r="B28" s="6" t="n">
        <v>-0.8784999999999999</v>
      </c>
      <c r="C28">
        <f>MAX(0,ROUND(Mu+Sigma*B28,0))</f>
        <v/>
      </c>
      <c r="D28">
        <f>Mu</f>
        <v/>
      </c>
    </row>
    <row r="29">
      <c r="A29" t="n">
        <v>28</v>
      </c>
      <c r="B29" s="6" t="n">
        <v>1.6717</v>
      </c>
      <c r="C29">
        <f>MAX(0,ROUND(Mu+Sigma*B29,0))</f>
        <v/>
      </c>
      <c r="D29">
        <f>Mu</f>
        <v/>
      </c>
    </row>
    <row r="30">
      <c r="A30" t="n">
        <v>29</v>
      </c>
      <c r="B30" s="6" t="n">
        <v>-1.5178</v>
      </c>
      <c r="C30">
        <f>MAX(0,ROUND(Mu+Sigma*B30,0))</f>
        <v/>
      </c>
      <c r="D30">
        <f>Mu</f>
        <v/>
      </c>
    </row>
    <row r="31">
      <c r="A31" t="n">
        <v>30</v>
      </c>
      <c r="B31" s="6" t="n">
        <v>0.2203</v>
      </c>
      <c r="C31">
        <f>MAX(0,ROUND(Mu+Sigma*B31,0))</f>
        <v/>
      </c>
      <c r="D31">
        <f>Mu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4.4"/>
  <cols>
    <col width="30" customWidth="1" min="1" max="1"/>
    <col width="12" customWidth="1" min="2" max="2"/>
    <col width="13" customWidth="1" min="3" max="3"/>
    <col width="26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Formula (text)</t>
        </is>
      </c>
    </row>
    <row r="2">
      <c r="A2" t="inlineStr">
        <is>
          <t>Annual demand (D)</t>
        </is>
      </c>
      <c r="B2" s="8">
        <f>Mu*DaysPerYear</f>
        <v/>
      </c>
      <c r="C2" t="inlineStr">
        <is>
          <t>units/year</t>
        </is>
      </c>
      <c r="D2" t="inlineStr">
        <is>
          <t>D = mu x 365</t>
        </is>
      </c>
    </row>
    <row r="3">
      <c r="A3" t="inlineStr">
        <is>
          <t>EOQ (Q*)</t>
        </is>
      </c>
      <c r="B3" s="9">
        <f>SQRT(2*B2*OrderCost/HoldCost)</f>
        <v/>
      </c>
      <c r="C3" t="inlineStr">
        <is>
          <t>units/order</t>
        </is>
      </c>
      <c r="D3" t="inlineStr">
        <is>
          <t>Q* = sqrt(2DS/H)</t>
        </is>
      </c>
    </row>
    <row r="4">
      <c r="A4" t="inlineStr">
        <is>
          <t>Orders per year</t>
        </is>
      </c>
      <c r="B4" s="8">
        <f>B2/B3</f>
        <v/>
      </c>
      <c r="C4" t="inlineStr">
        <is>
          <t>orders/year</t>
        </is>
      </c>
      <c r="D4" t="inlineStr">
        <is>
          <t>N = D/Q*</t>
        </is>
      </c>
    </row>
    <row r="5">
      <c r="A5" t="inlineStr">
        <is>
          <t>Cycle length</t>
        </is>
      </c>
      <c r="B5" s="8">
        <f>B3/Mu</f>
        <v/>
      </c>
      <c r="C5" t="inlineStr">
        <is>
          <t>days</t>
        </is>
      </c>
      <c r="D5" t="inlineStr">
        <is>
          <t>T = Q*/mu</t>
        </is>
      </c>
    </row>
    <row r="6">
      <c r="A6" t="inlineStr">
        <is>
          <t>Lead-time demand</t>
        </is>
      </c>
      <c r="B6" s="8">
        <f>Mu*LeadTime</f>
        <v/>
      </c>
      <c r="C6" t="inlineStr">
        <is>
          <t>units</t>
        </is>
      </c>
      <c r="D6" t="inlineStr">
        <is>
          <t>mu x L</t>
        </is>
      </c>
    </row>
    <row r="7">
      <c r="A7" t="inlineStr">
        <is>
          <t>Safety stock (SS)</t>
        </is>
      </c>
      <c r="B7" s="9">
        <f>z_value*Sigma*SQRT(LeadTime)</f>
        <v/>
      </c>
      <c r="C7" t="inlineStr">
        <is>
          <t>units</t>
        </is>
      </c>
      <c r="D7" t="inlineStr">
        <is>
          <t>SS = z x sigma x sqrt(L)</t>
        </is>
      </c>
    </row>
    <row r="8">
      <c r="A8" t="inlineStr">
        <is>
          <t>Reorder point (ROP)</t>
        </is>
      </c>
      <c r="B8" s="9">
        <f>B6+B7</f>
        <v/>
      </c>
      <c r="C8" t="inlineStr">
        <is>
          <t>units</t>
        </is>
      </c>
      <c r="D8" t="inlineStr">
        <is>
          <t>ROP = mu x L + SS</t>
        </is>
      </c>
    </row>
    <row r="9">
      <c r="A9" t="inlineStr">
        <is>
          <t>Annual ordering cost</t>
        </is>
      </c>
      <c r="B9" s="8">
        <f>B4*OrderCost</f>
        <v/>
      </c>
      <c r="C9" t="inlineStr">
        <is>
          <t>TL/year</t>
        </is>
      </c>
      <c r="D9" t="inlineStr">
        <is>
          <t>(D/Q*) x S</t>
        </is>
      </c>
    </row>
    <row r="10">
      <c r="A10" t="inlineStr">
        <is>
          <t>Annual cycle holding cost</t>
        </is>
      </c>
      <c r="B10" s="8">
        <f>B3/2*HoldCost</f>
        <v/>
      </c>
      <c r="C10" t="inlineStr">
        <is>
          <t>TL/year</t>
        </is>
      </c>
      <c r="D10" t="inlineStr">
        <is>
          <t>(Q*/2) x H</t>
        </is>
      </c>
    </row>
    <row r="11">
      <c r="A11" t="inlineStr">
        <is>
          <t>Annual safety stock cost</t>
        </is>
      </c>
      <c r="B11" s="8">
        <f>B7*HoldCost</f>
        <v/>
      </c>
      <c r="C11" t="inlineStr">
        <is>
          <t>TL/year</t>
        </is>
      </c>
      <c r="D11" t="inlineStr">
        <is>
          <t>SS x H</t>
        </is>
      </c>
    </row>
    <row r="12">
      <c r="A12" t="inlineStr">
        <is>
          <t>Total annual cost</t>
        </is>
      </c>
      <c r="B12" s="8">
        <f>B9+B10+B11</f>
        <v/>
      </c>
      <c r="C12" t="inlineStr">
        <is>
          <t>TL/year</t>
        </is>
      </c>
      <c r="D12" t="inlineStr">
        <is>
          <t>sum of the three</t>
        </is>
      </c>
    </row>
    <row r="13">
      <c r="B13" s="8" t="n"/>
    </row>
    <row r="14">
      <c r="A14" s="10" t="inlineStr">
        <is>
          <t>Check: SS from 30-day sample</t>
        </is>
      </c>
      <c r="B14" s="11">
        <f>z_value*Demand!G3*SQRT(LeadTime)</f>
        <v/>
      </c>
      <c r="C14" s="10" t="inlineStr">
        <is>
          <t>units</t>
        </is>
      </c>
      <c r="D14" s="10" t="inlineStr">
        <is>
          <t>z x sample sd x sqrt(L)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2026-10-28T09:44:34Z</dcterms:created>
  <dcterms:modified xsi:type="dcterms:W3CDTF">2026-10-28T19:38:05Z</dcterms:modified>
</cp:coreProperties>
</file>